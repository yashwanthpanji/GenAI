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enAI\Level2\AgentDevelopment\"/>
    </mc:Choice>
  </mc:AlternateContent>
  <xr:revisionPtr revIDLastSave="0" documentId="8_{3A5DAE6E-4BBA-4838-9BE7-835C6223E0A8}" xr6:coauthVersionLast="36" xr6:coauthVersionMax="36" xr10:uidLastSave="{00000000-0000-0000-0000-000000000000}"/>
  <bookViews>
    <workbookView xWindow="0" yWindow="0" windowWidth="17490" windowHeight="6930" xr2:uid="{00000000-000D-0000-FFFF-FFFF00000000}"/>
  </bookViews>
  <sheets>
    <sheet name="Use Case Scorecard" sheetId="1" r:id="rId1"/>
    <sheet name="System Design Scorecard" sheetId="2" r:id="rId2"/>
  </sheets>
  <calcPr calcId="191029"/>
</workbook>
</file>

<file path=xl/calcChain.xml><?xml version="1.0" encoding="utf-8"?>
<calcChain xmlns="http://schemas.openxmlformats.org/spreadsheetml/2006/main">
  <c r="B22" i="2" l="1"/>
  <c r="B24" i="2" s="1"/>
  <c r="B21" i="2"/>
  <c r="E18" i="2"/>
  <c r="E17" i="2"/>
  <c r="E16" i="2"/>
  <c r="E15" i="2"/>
  <c r="E14" i="2"/>
  <c r="E13" i="2"/>
  <c r="E12" i="2"/>
  <c r="E11" i="2"/>
  <c r="E10" i="2"/>
  <c r="E9" i="2"/>
  <c r="E8" i="2"/>
  <c r="E7" i="2"/>
  <c r="B19" i="1"/>
  <c r="E16" i="1"/>
  <c r="E15" i="1"/>
  <c r="E14" i="1"/>
  <c r="E13" i="1"/>
  <c r="E12" i="1"/>
  <c r="E11" i="1"/>
  <c r="E10" i="1"/>
  <c r="E9" i="1"/>
  <c r="E8" i="1"/>
  <c r="E7" i="1"/>
  <c r="B20" i="1" l="1"/>
  <c r="B22" i="1" s="1"/>
  <c r="B23" i="2"/>
  <c r="B21" i="1" l="1"/>
</calcChain>
</file>

<file path=xl/sharedStrings.xml><?xml version="1.0" encoding="utf-8"?>
<sst xmlns="http://schemas.openxmlformats.org/spreadsheetml/2006/main" count="160" uniqueCount="99">
  <si>
    <t>Use Case Scorecard Template</t>
  </si>
  <si>
    <t>Purpose:</t>
  </si>
  <si>
    <t>Evaluate whether an AI agent use case is worth adopting for the business.</t>
  </si>
  <si>
    <t>How to use:</t>
  </si>
  <si>
    <t>Enter a score from 1 to 5 for each dimension. Weighted Score = Weight × Score / 5. Total score is out of 100.</t>
  </si>
  <si>
    <t>Scoring Bands:</t>
  </si>
  <si>
    <t>85-100 = Strong adoption candidate | 70-84 = Pilot first | 55-69 = Conditional | Below 55 = Weak fit</t>
  </si>
  <si>
    <t>Assessment Table</t>
  </si>
  <si>
    <t>Dimension</t>
  </si>
  <si>
    <t>What to Assess</t>
  </si>
  <si>
    <t>Weight</t>
  </si>
  <si>
    <t>Score (1-5)</t>
  </si>
  <si>
    <t>Weighted Score</t>
  </si>
  <si>
    <t>Notes</t>
  </si>
  <si>
    <t>Decision Note</t>
  </si>
  <si>
    <t>Business impact</t>
  </si>
  <si>
    <t>Revenue, cost, productivity, or strategic value created if the use case succeeds.</t>
  </si>
  <si>
    <t/>
  </si>
  <si>
    <t>Funnel / process pain solved</t>
  </si>
  <si>
    <t>Strength of the current business problem and urgency to address it.</t>
  </si>
  <si>
    <t>User value / trust creation</t>
  </si>
  <si>
    <t>Whether the experience gives clear value to the end user before asking for commitment.</t>
  </si>
  <si>
    <t>Input readiness</t>
  </si>
  <si>
    <t>Availability and quality of required data, docs, specs, or events needed by the solution.</t>
  </si>
  <si>
    <t>Output reviewability</t>
  </si>
  <si>
    <t>How easily humans can validate whether the output is correct, safe, and useful.</t>
  </si>
  <si>
    <t>Integration feasibility</t>
  </si>
  <si>
    <t>Complexity of connecting required internal/external systems and maintaining them.</t>
  </si>
  <si>
    <t>Time to measurable value</t>
  </si>
  <si>
    <t>Scalability / reuse potential</t>
  </si>
  <si>
    <t>Ability to reuse the capability across programs, teams, or customer segments.</t>
  </si>
  <si>
    <t>Risk / compliance exposure</t>
  </si>
  <si>
    <t>Sensitivity of data, trust impact, legal/compliance risk, and blast radius of failure.</t>
  </si>
  <si>
    <t>Operational readiness</t>
  </si>
  <si>
    <t>Whether stakeholders, ownership, workflows, and support model are ready for adoption.</t>
  </si>
  <si>
    <t>Summary</t>
  </si>
  <si>
    <t>Total Weight</t>
  </si>
  <si>
    <t>Total Weighted Score</t>
  </si>
  <si>
    <t>Readiness Band</t>
  </si>
  <si>
    <t>Recommended Action</t>
  </si>
  <si>
    <t>Band Reference</t>
  </si>
  <si>
    <t>Score Range</t>
  </si>
  <si>
    <t>Interpretation</t>
  </si>
  <si>
    <t>Typical Next Step</t>
  </si>
  <si>
    <t>85-100</t>
  </si>
  <si>
    <t>Strong adoption candidate</t>
  </si>
  <si>
    <t>Move to architecture and pilot plan</t>
  </si>
  <si>
    <t>70-84</t>
  </si>
  <si>
    <t>Good candidate</t>
  </si>
  <si>
    <t>Pilot first and validate metrics</t>
  </si>
  <si>
    <t>55-69</t>
  </si>
  <si>
    <t>Conditional</t>
  </si>
  <si>
    <t>Reduce scope and resolve major gaps</t>
  </si>
  <si>
    <t>Below 55</t>
  </si>
  <si>
    <t>Weak fit</t>
  </si>
  <si>
    <t>Reframe use case or delay adoption</t>
  </si>
  <si>
    <t>System Design Scorecard Template</t>
  </si>
  <si>
    <t>Assess whether the proposed AI system design is ready for pilot or implementation.</t>
  </si>
  <si>
    <t>Score each architecture dimension from 1 to 5. Weighted Score = Weight × Score / 5. Total score is out of 100.</t>
  </si>
  <si>
    <t>Readiness Bands:</t>
  </si>
  <si>
    <t>85-100 = Ready for pilot | 70-84 = Redesign selected areas | 55-69 = Major gaps | Below 55 = Not ready</t>
  </si>
  <si>
    <t>Architecture Assessment Table</t>
  </si>
  <si>
    <t>Architecture Dimension</t>
  </si>
  <si>
    <t>What Good Looks Like</t>
  </si>
  <si>
    <t>Risk / Gap Note</t>
  </si>
  <si>
    <t>Remediation / Owner</t>
  </si>
  <si>
    <t>Scope clarity</t>
  </si>
  <si>
    <t>Objective, boundaries, users, and non-goals are explicit and stable enough for design.</t>
  </si>
  <si>
    <t>Input / output contract quality</t>
  </si>
  <si>
    <t>Inputs, outputs, schemas, and review points are clearly defined and testable.</t>
  </si>
  <si>
    <t>Workflow / orchestration design</t>
  </si>
  <si>
    <t>Control flow is intentional, modular, observable, and easy to reason about.</t>
  </si>
  <si>
    <t>Tool / integration boundary design</t>
  </si>
  <si>
    <t>External systems are isolated behind clear contracts with manageable dependencies.</t>
  </si>
  <si>
    <t>State, persistence, and traceability</t>
  </si>
  <si>
    <t>Sessions, artifacts, decisions, and history are stored with auditability.</t>
  </si>
  <si>
    <t>Human control model</t>
  </si>
  <si>
    <t>Approvals, overrides, escalation, and review checkpoints are clearly defined.</t>
  </si>
  <si>
    <t>Security and compliance posture</t>
  </si>
  <si>
    <t>PII handling, secrets, access control, retention, and compliance risks are addressed.</t>
  </si>
  <si>
    <t>Observability and diagnostics</t>
  </si>
  <si>
    <t>Logs, metrics, traces, eventing, and debug paths make failures diagnosable.</t>
  </si>
  <si>
    <t>Evaluation readiness</t>
  </si>
  <si>
    <t>Success metrics, test harness, QA process, and acceptance criteria are measurable.</t>
  </si>
  <si>
    <t>Maintainability and modularity</t>
  </si>
  <si>
    <t>Services/components are reusable, versioned, and easy to change safely.</t>
  </si>
  <si>
    <t>Scalability and performance readiness</t>
  </si>
  <si>
    <t>The design can handle expected load and growth without major redesign.</t>
  </si>
  <si>
    <t>Cost / latency balance</t>
  </si>
  <si>
    <t>Model, infra, and integration choices are appropriate for target cost and responsiveness.</t>
  </si>
  <si>
    <t>Ready for pilot</t>
  </si>
  <si>
    <t>Start implementation with governance and metrics</t>
  </si>
  <si>
    <t>Redesign selected areas</t>
  </si>
  <si>
    <t>Close the top architectural and control gaps</t>
  </si>
  <si>
    <t>Major gaps</t>
  </si>
  <si>
    <t>Rework system design before delivery</t>
  </si>
  <si>
    <t>Not ready</t>
  </si>
  <si>
    <t>Do not start build until fundamentals are addressed</t>
  </si>
  <si>
    <t>How quickly the business can see useful signals from an MVP(Minimum viable product) or pilot.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</si>
</sst>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800080"/>
      <name val="Calibri"/>
    </font>
    <font>
      <sz val="11"/>
      <color rgb="FF0000FF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1" fontId="6" fillId="5" borderId="1" xfId="0" applyNumberFormat="1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164" fontId="8" fillId="7" borderId="1" xfId="0" applyNumberFormat="1" applyFont="1" applyFill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164" fontId="2" fillId="7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7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zoomScale="120" zoomScaleNormal="120" workbookViewId="0">
      <selection activeCell="C27" sqref="C27:G27"/>
    </sheetView>
  </sheetViews>
  <sheetFormatPr defaultColWidth="8.85546875" defaultRowHeight="15" x14ac:dyDescent="0.25"/>
  <cols>
    <col min="1" max="1" width="24" customWidth="1"/>
    <col min="2" max="2" width="46" customWidth="1"/>
    <col min="3" max="3" width="10" customWidth="1"/>
    <col min="4" max="4" width="12" customWidth="1"/>
    <col min="5" max="5" width="14" customWidth="1"/>
    <col min="6" max="7" width="28" customWidth="1"/>
  </cols>
  <sheetData>
    <row r="1" spans="1:7" ht="26.1" customHeight="1" x14ac:dyDescent="0.25">
      <c r="A1" s="19" t="s">
        <v>0</v>
      </c>
      <c r="B1" s="13"/>
      <c r="C1" s="13"/>
      <c r="D1" s="13"/>
      <c r="E1" s="13"/>
      <c r="F1" s="13"/>
      <c r="G1" s="13"/>
    </row>
    <row r="2" spans="1:7" ht="21.95" customHeight="1" x14ac:dyDescent="0.25">
      <c r="A2" s="1" t="s">
        <v>1</v>
      </c>
      <c r="B2" s="14" t="s">
        <v>2</v>
      </c>
      <c r="C2" s="13"/>
      <c r="D2" s="13"/>
      <c r="E2" s="13"/>
      <c r="F2" s="13"/>
      <c r="G2" s="13"/>
    </row>
    <row r="3" spans="1:7" ht="21.95" customHeight="1" x14ac:dyDescent="0.25">
      <c r="A3" s="1" t="s">
        <v>3</v>
      </c>
      <c r="B3" s="14" t="s">
        <v>4</v>
      </c>
      <c r="C3" s="13"/>
      <c r="D3" s="13"/>
      <c r="E3" s="13"/>
      <c r="F3" s="13"/>
      <c r="G3" s="13"/>
    </row>
    <row r="4" spans="1:7" ht="21.95" customHeight="1" x14ac:dyDescent="0.25">
      <c r="A4" s="1" t="s">
        <v>5</v>
      </c>
      <c r="B4" s="14" t="s">
        <v>6</v>
      </c>
      <c r="C4" s="13"/>
      <c r="D4" s="13"/>
      <c r="E4" s="13"/>
      <c r="F4" s="13"/>
      <c r="G4" s="13"/>
    </row>
    <row r="5" spans="1:7" ht="21.95" customHeight="1" x14ac:dyDescent="0.25">
      <c r="A5" s="17" t="s">
        <v>7</v>
      </c>
      <c r="B5" s="13"/>
      <c r="C5" s="13"/>
      <c r="D5" s="13"/>
      <c r="E5" s="13"/>
      <c r="F5" s="13"/>
      <c r="G5" s="13"/>
    </row>
    <row r="6" spans="1:7" ht="64.5" customHeight="1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 spans="1:7" ht="30" customHeight="1" x14ac:dyDescent="0.25">
      <c r="A7" s="3" t="s">
        <v>15</v>
      </c>
      <c r="B7" s="3" t="s">
        <v>16</v>
      </c>
      <c r="C7" s="4">
        <v>15</v>
      </c>
      <c r="D7" s="5">
        <v>4</v>
      </c>
      <c r="E7" s="6">
        <f t="shared" ref="E7:E16" si="0">C7*D7/5</f>
        <v>12</v>
      </c>
      <c r="F7" s="5" t="s">
        <v>17</v>
      </c>
      <c r="G7" s="5" t="s">
        <v>17</v>
      </c>
    </row>
    <row r="8" spans="1:7" ht="30" customHeight="1" x14ac:dyDescent="0.25">
      <c r="A8" s="3" t="s">
        <v>18</v>
      </c>
      <c r="B8" s="3" t="s">
        <v>19</v>
      </c>
      <c r="C8" s="4">
        <v>10</v>
      </c>
      <c r="D8" s="5">
        <v>4</v>
      </c>
      <c r="E8" s="6">
        <f t="shared" si="0"/>
        <v>8</v>
      </c>
      <c r="F8" s="5" t="s">
        <v>17</v>
      </c>
      <c r="G8" s="5" t="s">
        <v>17</v>
      </c>
    </row>
    <row r="9" spans="1:7" ht="30" customHeight="1" x14ac:dyDescent="0.25">
      <c r="A9" s="3" t="s">
        <v>20</v>
      </c>
      <c r="B9" s="3" t="s">
        <v>21</v>
      </c>
      <c r="C9" s="4">
        <v>10</v>
      </c>
      <c r="D9" s="5">
        <v>3</v>
      </c>
      <c r="E9" s="6">
        <f t="shared" si="0"/>
        <v>6</v>
      </c>
      <c r="F9" s="5" t="s">
        <v>17</v>
      </c>
      <c r="G9" s="5" t="s">
        <v>17</v>
      </c>
    </row>
    <row r="10" spans="1:7" ht="30" customHeight="1" x14ac:dyDescent="0.25">
      <c r="A10" s="3" t="s">
        <v>22</v>
      </c>
      <c r="B10" s="3" t="s">
        <v>23</v>
      </c>
      <c r="C10" s="4">
        <v>10</v>
      </c>
      <c r="D10" s="5">
        <v>4</v>
      </c>
      <c r="E10" s="6">
        <f t="shared" si="0"/>
        <v>8</v>
      </c>
      <c r="F10" s="5" t="s">
        <v>17</v>
      </c>
      <c r="G10" s="5" t="s">
        <v>17</v>
      </c>
    </row>
    <row r="11" spans="1:7" ht="30" customHeight="1" x14ac:dyDescent="0.25">
      <c r="A11" s="3" t="s">
        <v>24</v>
      </c>
      <c r="B11" s="3" t="s">
        <v>25</v>
      </c>
      <c r="C11" s="4">
        <v>10</v>
      </c>
      <c r="D11" s="5">
        <v>4</v>
      </c>
      <c r="E11" s="6">
        <f t="shared" si="0"/>
        <v>8</v>
      </c>
      <c r="F11" s="5" t="s">
        <v>17</v>
      </c>
      <c r="G11" s="5" t="s">
        <v>17</v>
      </c>
    </row>
    <row r="12" spans="1:7" ht="30" customHeight="1" x14ac:dyDescent="0.25">
      <c r="A12" s="3" t="s">
        <v>26</v>
      </c>
      <c r="B12" s="3" t="s">
        <v>27</v>
      </c>
      <c r="C12" s="4">
        <v>10</v>
      </c>
      <c r="D12" s="5">
        <v>2.5</v>
      </c>
      <c r="E12" s="6">
        <f t="shared" si="0"/>
        <v>5</v>
      </c>
      <c r="F12" s="5" t="s">
        <v>17</v>
      </c>
      <c r="G12" s="5" t="s">
        <v>17</v>
      </c>
    </row>
    <row r="13" spans="1:7" ht="30" customHeight="1" x14ac:dyDescent="0.25">
      <c r="A13" s="3" t="s">
        <v>28</v>
      </c>
      <c r="B13" s="3" t="s">
        <v>98</v>
      </c>
      <c r="C13" s="4">
        <v>10</v>
      </c>
      <c r="D13" s="5">
        <v>4</v>
      </c>
      <c r="E13" s="6">
        <f t="shared" si="0"/>
        <v>8</v>
      </c>
      <c r="F13" s="5" t="s">
        <v>17</v>
      </c>
      <c r="G13" s="5" t="s">
        <v>17</v>
      </c>
    </row>
    <row r="14" spans="1:7" ht="30" customHeight="1" x14ac:dyDescent="0.25">
      <c r="A14" s="3" t="s">
        <v>29</v>
      </c>
      <c r="B14" s="3" t="s">
        <v>30</v>
      </c>
      <c r="C14" s="4">
        <v>10</v>
      </c>
      <c r="D14" s="5">
        <v>4</v>
      </c>
      <c r="E14" s="6">
        <f t="shared" si="0"/>
        <v>8</v>
      </c>
      <c r="F14" s="5" t="s">
        <v>17</v>
      </c>
      <c r="G14" s="5" t="s">
        <v>17</v>
      </c>
    </row>
    <row r="15" spans="1:7" ht="30" customHeight="1" x14ac:dyDescent="0.25">
      <c r="A15" s="3" t="s">
        <v>31</v>
      </c>
      <c r="B15" s="3" t="s">
        <v>32</v>
      </c>
      <c r="C15" s="4">
        <v>10</v>
      </c>
      <c r="D15" s="5">
        <v>3</v>
      </c>
      <c r="E15" s="6">
        <f t="shared" si="0"/>
        <v>6</v>
      </c>
      <c r="F15" s="5" t="s">
        <v>17</v>
      </c>
      <c r="G15" s="5" t="s">
        <v>17</v>
      </c>
    </row>
    <row r="16" spans="1:7" ht="30" customHeight="1" x14ac:dyDescent="0.25">
      <c r="A16" s="3" t="s">
        <v>33</v>
      </c>
      <c r="B16" s="3" t="s">
        <v>34</v>
      </c>
      <c r="C16" s="4">
        <v>5</v>
      </c>
      <c r="D16" s="5">
        <v>4</v>
      </c>
      <c r="E16" s="6">
        <f t="shared" si="0"/>
        <v>4</v>
      </c>
      <c r="F16" s="5" t="s">
        <v>17</v>
      </c>
      <c r="G16" s="5" t="s">
        <v>17</v>
      </c>
    </row>
    <row r="17" spans="1:7" ht="21.95" customHeight="1" x14ac:dyDescent="0.25"/>
    <row r="18" spans="1:7" ht="21.95" customHeight="1" x14ac:dyDescent="0.25">
      <c r="A18" s="17" t="s">
        <v>35</v>
      </c>
      <c r="B18" s="13"/>
      <c r="C18" s="13"/>
      <c r="D18" s="13"/>
      <c r="E18" s="13"/>
      <c r="F18" s="13"/>
      <c r="G18" s="13"/>
    </row>
    <row r="19" spans="1:7" ht="21.95" customHeight="1" x14ac:dyDescent="0.25">
      <c r="A19" s="1" t="s">
        <v>36</v>
      </c>
      <c r="B19" s="18">
        <f>SUM(C7:C16)</f>
        <v>100</v>
      </c>
      <c r="C19" s="11"/>
      <c r="D19" s="11"/>
      <c r="E19" s="7"/>
      <c r="F19" s="7"/>
      <c r="G19" s="7"/>
    </row>
    <row r="20" spans="1:7" ht="21.95" customHeight="1" x14ac:dyDescent="0.25">
      <c r="A20" s="1" t="s">
        <v>37</v>
      </c>
      <c r="B20" s="10">
        <f>SUM(E7:E16)</f>
        <v>73</v>
      </c>
      <c r="C20" s="11"/>
      <c r="D20" s="11"/>
      <c r="E20" s="7"/>
      <c r="F20" s="7"/>
      <c r="G20" s="7"/>
    </row>
    <row r="21" spans="1:7" ht="21.95" customHeight="1" x14ac:dyDescent="0.25">
      <c r="A21" s="1" t="s">
        <v>38</v>
      </c>
      <c r="B21" s="12" t="str">
        <f>IF(B20&gt;=85,"Strong adoption candidate",IF(B20&gt;=70,"Pilot first",IF(B20&gt;=55,"Conditional / narrow scope","Weak fit / rethink")))</f>
        <v>Pilot first</v>
      </c>
      <c r="C21" s="13"/>
      <c r="D21" s="13"/>
      <c r="E21" s="7"/>
      <c r="F21" s="7"/>
      <c r="G21" s="7"/>
    </row>
    <row r="22" spans="1:7" ht="21.95" customHeight="1" x14ac:dyDescent="0.25">
      <c r="A22" s="1" t="s">
        <v>39</v>
      </c>
      <c r="B22" s="12" t="str">
        <f>IF(B20&gt;=85,"Proceed with phased implementation",IF(B20&gt;=70,"Run a focused pilot with success metrics",IF(B20&gt;=55,"Reduce scope and validate assumptions first","Do not adopt until key gaps are resolved")))</f>
        <v>Run a focused pilot with success metrics</v>
      </c>
      <c r="C22" s="13"/>
      <c r="D22" s="13"/>
      <c r="E22" s="7"/>
      <c r="F22" s="7"/>
      <c r="G22" s="7"/>
    </row>
    <row r="23" spans="1:7" ht="21.95" customHeight="1" x14ac:dyDescent="0.25"/>
    <row r="24" spans="1:7" ht="26.1" customHeight="1" x14ac:dyDescent="0.25">
      <c r="A24" s="15" t="s">
        <v>40</v>
      </c>
      <c r="B24" s="16"/>
      <c r="C24" s="16"/>
      <c r="D24" s="16"/>
      <c r="E24" s="16"/>
      <c r="F24" s="16"/>
      <c r="G24" s="16"/>
    </row>
    <row r="25" spans="1:7" ht="26.1" customHeight="1" x14ac:dyDescent="0.25">
      <c r="A25" s="2" t="s">
        <v>41</v>
      </c>
      <c r="B25" s="2" t="s">
        <v>42</v>
      </c>
      <c r="C25" s="8" t="s">
        <v>43</v>
      </c>
      <c r="D25" s="8"/>
      <c r="E25" s="8"/>
      <c r="F25" s="8"/>
      <c r="G25" s="8"/>
    </row>
    <row r="26" spans="1:7" ht="26.1" customHeight="1" x14ac:dyDescent="0.25">
      <c r="A26" s="3" t="s">
        <v>44</v>
      </c>
      <c r="B26" s="3" t="s">
        <v>45</v>
      </c>
      <c r="C26" s="9" t="s">
        <v>46</v>
      </c>
      <c r="D26" s="9"/>
      <c r="E26" s="9"/>
      <c r="F26" s="9"/>
      <c r="G26" s="9"/>
    </row>
    <row r="27" spans="1:7" ht="26.1" customHeight="1" x14ac:dyDescent="0.25">
      <c r="A27" s="3" t="s">
        <v>47</v>
      </c>
      <c r="B27" s="3" t="s">
        <v>48</v>
      </c>
      <c r="C27" s="9" t="s">
        <v>49</v>
      </c>
      <c r="D27" s="9"/>
      <c r="E27" s="9"/>
      <c r="F27" s="9"/>
      <c r="G27" s="9"/>
    </row>
    <row r="28" spans="1:7" ht="26.1" customHeight="1" x14ac:dyDescent="0.25">
      <c r="A28" s="3" t="s">
        <v>50</v>
      </c>
      <c r="B28" s="3" t="s">
        <v>51</v>
      </c>
      <c r="C28" s="9" t="s">
        <v>52</v>
      </c>
      <c r="D28" s="9"/>
      <c r="E28" s="9"/>
      <c r="F28" s="9"/>
      <c r="G28" s="9"/>
    </row>
    <row r="29" spans="1:7" ht="26.1" customHeight="1" x14ac:dyDescent="0.25">
      <c r="A29" s="3" t="s">
        <v>53</v>
      </c>
      <c r="B29" s="3" t="s">
        <v>54</v>
      </c>
      <c r="C29" s="9" t="s">
        <v>55</v>
      </c>
      <c r="D29" s="9"/>
      <c r="E29" s="9"/>
      <c r="F29" s="9"/>
      <c r="G29" s="9"/>
    </row>
  </sheetData>
  <mergeCells count="16">
    <mergeCell ref="B3:G3"/>
    <mergeCell ref="B2:G2"/>
    <mergeCell ref="B19:D19"/>
    <mergeCell ref="A1:G1"/>
    <mergeCell ref="A18:G18"/>
    <mergeCell ref="B20:D20"/>
    <mergeCell ref="B22:D22"/>
    <mergeCell ref="B4:G4"/>
    <mergeCell ref="A24:G24"/>
    <mergeCell ref="B21:D21"/>
    <mergeCell ref="A5:G5"/>
    <mergeCell ref="C25:G25"/>
    <mergeCell ref="C26:G26"/>
    <mergeCell ref="C27:G27"/>
    <mergeCell ref="C28:G28"/>
    <mergeCell ref="C29:G29"/>
  </mergeCells>
  <conditionalFormatting sqref="B20">
    <cfRule type="cellIs" dxfId="5" priority="2" operator="greaterThanOrEqual">
      <formula>85</formula>
    </cfRule>
    <cfRule type="cellIs" dxfId="4" priority="3" operator="between">
      <formula>70</formula>
      <formula>84.999</formula>
    </cfRule>
    <cfRule type="cellIs" dxfId="3" priority="4" operator="lessThan">
      <formula>55</formula>
    </cfRule>
  </conditionalFormatting>
  <conditionalFormatting sqref="D7:D16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 whole number between 1 and 5." prompt="Enter a score from 1 (low) to 5 (high)." sqref="D7:D16" xr:uid="{00000000-0002-0000-0000-000000000000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topLeftCell="A13" zoomScale="120" zoomScaleNormal="120" workbookViewId="0">
      <selection activeCell="B25" sqref="B25"/>
    </sheetView>
  </sheetViews>
  <sheetFormatPr defaultColWidth="8.85546875" defaultRowHeight="15" x14ac:dyDescent="0.25"/>
  <cols>
    <col min="1" max="1" width="24" customWidth="1"/>
    <col min="2" max="2" width="50" customWidth="1"/>
    <col min="3" max="3" width="10" customWidth="1"/>
    <col min="4" max="4" width="12" customWidth="1"/>
    <col min="5" max="5" width="14" customWidth="1"/>
    <col min="6" max="6" width="26" customWidth="1"/>
    <col min="7" max="7" width="28" customWidth="1"/>
  </cols>
  <sheetData>
    <row r="1" spans="1:7" ht="26.1" customHeight="1" x14ac:dyDescent="0.25">
      <c r="A1" s="19" t="s">
        <v>56</v>
      </c>
      <c r="B1" s="13"/>
      <c r="C1" s="13"/>
      <c r="D1" s="13"/>
      <c r="E1" s="13"/>
      <c r="F1" s="13"/>
      <c r="G1" s="13"/>
    </row>
    <row r="2" spans="1:7" ht="21.95" customHeight="1" x14ac:dyDescent="0.25">
      <c r="A2" s="1" t="s">
        <v>1</v>
      </c>
      <c r="B2" s="14" t="s">
        <v>57</v>
      </c>
      <c r="C2" s="13"/>
      <c r="D2" s="13"/>
      <c r="E2" s="13"/>
      <c r="F2" s="13"/>
      <c r="G2" s="13"/>
    </row>
    <row r="3" spans="1:7" ht="21.95" customHeight="1" x14ac:dyDescent="0.25">
      <c r="A3" s="1" t="s">
        <v>3</v>
      </c>
      <c r="B3" s="14" t="s">
        <v>58</v>
      </c>
      <c r="C3" s="13"/>
      <c r="D3" s="13"/>
      <c r="E3" s="13"/>
      <c r="F3" s="13"/>
      <c r="G3" s="13"/>
    </row>
    <row r="4" spans="1:7" ht="21.95" customHeight="1" x14ac:dyDescent="0.25">
      <c r="A4" s="1" t="s">
        <v>59</v>
      </c>
      <c r="B4" s="14" t="s">
        <v>60</v>
      </c>
      <c r="C4" s="13"/>
      <c r="D4" s="13"/>
      <c r="E4" s="13"/>
      <c r="F4" s="13"/>
      <c r="G4" s="13"/>
    </row>
    <row r="5" spans="1:7" ht="21.95" customHeight="1" x14ac:dyDescent="0.25">
      <c r="A5" s="17" t="s">
        <v>61</v>
      </c>
      <c r="B5" s="13"/>
      <c r="C5" s="13"/>
      <c r="D5" s="13"/>
      <c r="E5" s="13"/>
      <c r="F5" s="13"/>
      <c r="G5" s="13"/>
    </row>
    <row r="6" spans="1:7" ht="21.95" customHeight="1" x14ac:dyDescent="0.25">
      <c r="A6" s="2" t="s">
        <v>62</v>
      </c>
      <c r="B6" s="2" t="s">
        <v>63</v>
      </c>
      <c r="C6" s="2" t="s">
        <v>10</v>
      </c>
      <c r="D6" s="2" t="s">
        <v>11</v>
      </c>
      <c r="E6" s="2" t="s">
        <v>12</v>
      </c>
      <c r="F6" s="2" t="s">
        <v>64</v>
      </c>
      <c r="G6" s="2" t="s">
        <v>65</v>
      </c>
    </row>
    <row r="7" spans="1:7" ht="30" customHeight="1" x14ac:dyDescent="0.25">
      <c r="A7" s="3" t="s">
        <v>66</v>
      </c>
      <c r="B7" s="3" t="s">
        <v>67</v>
      </c>
      <c r="C7" s="4">
        <v>10</v>
      </c>
      <c r="D7" s="5"/>
      <c r="E7" s="6">
        <f t="shared" ref="E7:E18" si="0">C7*D7/5</f>
        <v>0</v>
      </c>
      <c r="F7" s="5" t="s">
        <v>17</v>
      </c>
      <c r="G7" s="5" t="s">
        <v>17</v>
      </c>
    </row>
    <row r="8" spans="1:7" ht="30" customHeight="1" x14ac:dyDescent="0.25">
      <c r="A8" s="3" t="s">
        <v>68</v>
      </c>
      <c r="B8" s="3" t="s">
        <v>69</v>
      </c>
      <c r="C8" s="4">
        <v>10</v>
      </c>
      <c r="D8" s="5"/>
      <c r="E8" s="6">
        <f t="shared" si="0"/>
        <v>0</v>
      </c>
      <c r="F8" s="5" t="s">
        <v>17</v>
      </c>
      <c r="G8" s="5" t="s">
        <v>17</v>
      </c>
    </row>
    <row r="9" spans="1:7" ht="30" customHeight="1" x14ac:dyDescent="0.25">
      <c r="A9" s="3" t="s">
        <v>70</v>
      </c>
      <c r="B9" s="3" t="s">
        <v>71</v>
      </c>
      <c r="C9" s="4">
        <v>10</v>
      </c>
      <c r="D9" s="5"/>
      <c r="E9" s="6">
        <f t="shared" si="0"/>
        <v>0</v>
      </c>
      <c r="F9" s="5" t="s">
        <v>17</v>
      </c>
      <c r="G9" s="5" t="s">
        <v>17</v>
      </c>
    </row>
    <row r="10" spans="1:7" ht="30" customHeight="1" x14ac:dyDescent="0.25">
      <c r="A10" s="3" t="s">
        <v>72</v>
      </c>
      <c r="B10" s="3" t="s">
        <v>73</v>
      </c>
      <c r="C10" s="4">
        <v>10</v>
      </c>
      <c r="D10" s="5"/>
      <c r="E10" s="6">
        <f t="shared" si="0"/>
        <v>0</v>
      </c>
      <c r="F10" s="5" t="s">
        <v>17</v>
      </c>
      <c r="G10" s="5" t="s">
        <v>17</v>
      </c>
    </row>
    <row r="11" spans="1:7" ht="30" customHeight="1" x14ac:dyDescent="0.25">
      <c r="A11" s="3" t="s">
        <v>74</v>
      </c>
      <c r="B11" s="3" t="s">
        <v>75</v>
      </c>
      <c r="C11" s="4">
        <v>10</v>
      </c>
      <c r="D11" s="5"/>
      <c r="E11" s="6">
        <f t="shared" si="0"/>
        <v>0</v>
      </c>
      <c r="F11" s="5" t="s">
        <v>17</v>
      </c>
      <c r="G11" s="5" t="s">
        <v>17</v>
      </c>
    </row>
    <row r="12" spans="1:7" ht="30" customHeight="1" x14ac:dyDescent="0.25">
      <c r="A12" s="3" t="s">
        <v>76</v>
      </c>
      <c r="B12" s="3" t="s">
        <v>77</v>
      </c>
      <c r="C12" s="4">
        <v>7</v>
      </c>
      <c r="D12" s="5"/>
      <c r="E12" s="6">
        <f t="shared" si="0"/>
        <v>0</v>
      </c>
      <c r="F12" s="5" t="s">
        <v>17</v>
      </c>
      <c r="G12" s="5" t="s">
        <v>17</v>
      </c>
    </row>
    <row r="13" spans="1:7" ht="30" customHeight="1" x14ac:dyDescent="0.25">
      <c r="A13" s="3" t="s">
        <v>78</v>
      </c>
      <c r="B13" s="3" t="s">
        <v>79</v>
      </c>
      <c r="C13" s="4">
        <v>10</v>
      </c>
      <c r="D13" s="5"/>
      <c r="E13" s="6">
        <f t="shared" si="0"/>
        <v>0</v>
      </c>
      <c r="F13" s="5" t="s">
        <v>17</v>
      </c>
      <c r="G13" s="5" t="s">
        <v>17</v>
      </c>
    </row>
    <row r="14" spans="1:7" ht="30" customHeight="1" x14ac:dyDescent="0.25">
      <c r="A14" s="3" t="s">
        <v>80</v>
      </c>
      <c r="B14" s="3" t="s">
        <v>81</v>
      </c>
      <c r="C14" s="4">
        <v>7</v>
      </c>
      <c r="D14" s="5"/>
      <c r="E14" s="6">
        <f t="shared" si="0"/>
        <v>0</v>
      </c>
      <c r="F14" s="5" t="s">
        <v>17</v>
      </c>
      <c r="G14" s="5" t="s">
        <v>17</v>
      </c>
    </row>
    <row r="15" spans="1:7" ht="30" customHeight="1" x14ac:dyDescent="0.25">
      <c r="A15" s="3" t="s">
        <v>82</v>
      </c>
      <c r="B15" s="3" t="s">
        <v>83</v>
      </c>
      <c r="C15" s="4">
        <v>7</v>
      </c>
      <c r="D15" s="5"/>
      <c r="E15" s="6">
        <f t="shared" si="0"/>
        <v>0</v>
      </c>
      <c r="F15" s="5" t="s">
        <v>17</v>
      </c>
      <c r="G15" s="5" t="s">
        <v>17</v>
      </c>
    </row>
    <row r="16" spans="1:7" ht="30" customHeight="1" x14ac:dyDescent="0.25">
      <c r="A16" s="3" t="s">
        <v>84</v>
      </c>
      <c r="B16" s="3" t="s">
        <v>85</v>
      </c>
      <c r="C16" s="4">
        <v>7</v>
      </c>
      <c r="D16" s="5"/>
      <c r="E16" s="6">
        <f t="shared" si="0"/>
        <v>0</v>
      </c>
      <c r="F16" s="5" t="s">
        <v>17</v>
      </c>
      <c r="G16" s="5" t="s">
        <v>17</v>
      </c>
    </row>
    <row r="17" spans="1:7" ht="30" customHeight="1" x14ac:dyDescent="0.25">
      <c r="A17" s="3" t="s">
        <v>86</v>
      </c>
      <c r="B17" s="3" t="s">
        <v>87</v>
      </c>
      <c r="C17" s="4">
        <v>7</v>
      </c>
      <c r="D17" s="5"/>
      <c r="E17" s="6">
        <f t="shared" si="0"/>
        <v>0</v>
      </c>
      <c r="F17" s="5" t="s">
        <v>17</v>
      </c>
      <c r="G17" s="5" t="s">
        <v>17</v>
      </c>
    </row>
    <row r="18" spans="1:7" ht="30" customHeight="1" x14ac:dyDescent="0.25">
      <c r="A18" s="3" t="s">
        <v>88</v>
      </c>
      <c r="B18" s="3" t="s">
        <v>89</v>
      </c>
      <c r="C18" s="4">
        <v>5</v>
      </c>
      <c r="D18" s="5"/>
      <c r="E18" s="6">
        <f t="shared" si="0"/>
        <v>0</v>
      </c>
      <c r="F18" s="5" t="s">
        <v>17</v>
      </c>
      <c r="G18" s="5" t="s">
        <v>17</v>
      </c>
    </row>
    <row r="19" spans="1:7" ht="21.95" customHeight="1" x14ac:dyDescent="0.25"/>
    <row r="20" spans="1:7" ht="21.95" customHeight="1" x14ac:dyDescent="0.25">
      <c r="A20" s="17" t="s">
        <v>35</v>
      </c>
      <c r="B20" s="13"/>
      <c r="C20" s="13"/>
      <c r="D20" s="13"/>
      <c r="E20" s="13"/>
      <c r="F20" s="13"/>
      <c r="G20" s="13"/>
    </row>
    <row r="21" spans="1:7" ht="21.95" customHeight="1" x14ac:dyDescent="0.25">
      <c r="A21" s="1" t="s">
        <v>36</v>
      </c>
      <c r="B21" s="18">
        <f>SUM(C7:C18)</f>
        <v>100</v>
      </c>
      <c r="C21" s="11"/>
      <c r="D21" s="11"/>
      <c r="E21" s="7"/>
      <c r="F21" s="7"/>
      <c r="G21" s="7"/>
    </row>
    <row r="22" spans="1:7" ht="21.95" customHeight="1" x14ac:dyDescent="0.25">
      <c r="A22" s="1" t="s">
        <v>37</v>
      </c>
      <c r="B22" s="10">
        <f>SUM(E7:E18)</f>
        <v>0</v>
      </c>
      <c r="C22" s="11"/>
      <c r="D22" s="11"/>
      <c r="E22" s="7"/>
      <c r="F22" s="7"/>
      <c r="G22" s="7"/>
    </row>
    <row r="23" spans="1:7" ht="21.95" customHeight="1" x14ac:dyDescent="0.25">
      <c r="A23" s="1" t="s">
        <v>38</v>
      </c>
      <c r="B23" s="12" t="str">
        <f>IF(B22&gt;=85,"Ready for pilot",IF(B22&gt;=70,"Redesign selected areas",IF(B22&gt;=55,"Major design gaps","Not ready")))</f>
        <v>Not ready</v>
      </c>
      <c r="C23" s="13"/>
      <c r="D23" s="13"/>
      <c r="E23" s="7"/>
      <c r="F23" s="7"/>
      <c r="G23" s="7"/>
    </row>
    <row r="24" spans="1:7" ht="21.95" customHeight="1" x14ac:dyDescent="0.25">
      <c r="A24" s="1" t="s">
        <v>39</v>
      </c>
      <c r="B24" s="12" t="str">
        <f>IF(B22&gt;=85,"Proceed to pilot build",IF(B22&gt;=70,"Resolve top design gaps before build",IF(B22&gt;=55,"Rework architecture and controls first","Stop and redesign core architecture")))</f>
        <v>Stop and redesign core architecture</v>
      </c>
      <c r="C24" s="13"/>
      <c r="D24" s="13"/>
      <c r="E24" s="7"/>
      <c r="F24" s="7"/>
      <c r="G24" s="7"/>
    </row>
    <row r="25" spans="1:7" ht="21.95" customHeight="1" x14ac:dyDescent="0.25"/>
    <row r="26" spans="1:7" ht="26.1" customHeight="1" x14ac:dyDescent="0.25">
      <c r="A26" s="17" t="s">
        <v>40</v>
      </c>
      <c r="B26" s="13"/>
      <c r="C26" s="13"/>
      <c r="D26" s="13"/>
      <c r="E26" s="13"/>
      <c r="F26" s="13"/>
      <c r="G26" s="13"/>
    </row>
    <row r="27" spans="1:7" ht="26.1" customHeight="1" x14ac:dyDescent="0.25">
      <c r="A27" s="2" t="s">
        <v>41</v>
      </c>
      <c r="B27" s="2" t="s">
        <v>42</v>
      </c>
      <c r="C27" s="8" t="s">
        <v>43</v>
      </c>
      <c r="D27" s="8"/>
      <c r="E27" s="8"/>
      <c r="F27" s="8"/>
      <c r="G27" s="8"/>
    </row>
    <row r="28" spans="1:7" ht="26.1" customHeight="1" x14ac:dyDescent="0.25">
      <c r="A28" s="3" t="s">
        <v>44</v>
      </c>
      <c r="B28" s="3" t="s">
        <v>90</v>
      </c>
      <c r="C28" s="9" t="s">
        <v>91</v>
      </c>
      <c r="D28" s="9"/>
      <c r="E28" s="9"/>
      <c r="F28" s="9"/>
      <c r="G28" s="9"/>
    </row>
    <row r="29" spans="1:7" ht="26.1" customHeight="1" x14ac:dyDescent="0.25">
      <c r="A29" s="3" t="s">
        <v>47</v>
      </c>
      <c r="B29" s="3" t="s">
        <v>92</v>
      </c>
      <c r="C29" s="9" t="s">
        <v>93</v>
      </c>
      <c r="D29" s="9"/>
      <c r="E29" s="9"/>
      <c r="F29" s="9"/>
      <c r="G29" s="9"/>
    </row>
    <row r="30" spans="1:7" ht="26.1" customHeight="1" x14ac:dyDescent="0.25">
      <c r="A30" s="3" t="s">
        <v>50</v>
      </c>
      <c r="B30" s="3" t="s">
        <v>94</v>
      </c>
      <c r="C30" s="9" t="s">
        <v>95</v>
      </c>
      <c r="D30" s="9"/>
      <c r="E30" s="9"/>
      <c r="F30" s="9"/>
      <c r="G30" s="9"/>
    </row>
    <row r="31" spans="1:7" ht="26.1" customHeight="1" x14ac:dyDescent="0.25">
      <c r="A31" s="3" t="s">
        <v>53</v>
      </c>
      <c r="B31" s="3" t="s">
        <v>96</v>
      </c>
      <c r="C31" s="9" t="s">
        <v>97</v>
      </c>
      <c r="D31" s="9"/>
      <c r="E31" s="9"/>
      <c r="F31" s="9"/>
      <c r="G31" s="9"/>
    </row>
  </sheetData>
  <mergeCells count="16">
    <mergeCell ref="B2:G2"/>
    <mergeCell ref="A1:G1"/>
    <mergeCell ref="B23:D23"/>
    <mergeCell ref="B22:D22"/>
    <mergeCell ref="A20:G20"/>
    <mergeCell ref="B4:G4"/>
    <mergeCell ref="B21:D21"/>
    <mergeCell ref="B24:D24"/>
    <mergeCell ref="A5:G5"/>
    <mergeCell ref="C27:G27"/>
    <mergeCell ref="B3:G3"/>
    <mergeCell ref="C28:G28"/>
    <mergeCell ref="C29:G29"/>
    <mergeCell ref="C30:G30"/>
    <mergeCell ref="C31:G31"/>
    <mergeCell ref="A26:G26"/>
  </mergeCells>
  <conditionalFormatting sqref="B22">
    <cfRule type="cellIs" dxfId="2" priority="2" operator="greaterThanOrEqual">
      <formula>85</formula>
    </cfRule>
    <cfRule type="cellIs" dxfId="1" priority="3" operator="between">
      <formula>70</formula>
      <formula>84.999</formula>
    </cfRule>
    <cfRule type="cellIs" dxfId="0" priority="4" operator="lessThan">
      <formula>55</formula>
    </cfRule>
  </conditionalFormatting>
  <conditionalFormatting sqref="D7:D18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 whole number between 1 and 5." prompt="Enter a score from 1 (low) to 5 (high)." sqref="D7:D18" xr:uid="{00000000-0002-0000-0100-000000000000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 Scorecard</vt:lpstr>
      <vt:lpstr>System Design Scorecard</vt:lpstr>
    </vt:vector>
  </TitlesOfParts>
  <Manager/>
  <Company>Qeagle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Scorecards - usecase and system design</dc:title>
  <dc:subject>Scorecards - usecase and system design</dc:subject>
  <dc:creator>Babu Manickam</dc:creator>
  <cp:keywords/>
  <dc:description/>
  <cp:lastModifiedBy>Yashwanth</cp:lastModifiedBy>
  <dcterms:created xsi:type="dcterms:W3CDTF">2026-04-11T04:27:48Z</dcterms:created>
  <dcterms:modified xsi:type="dcterms:W3CDTF">2026-04-11T04:27:48Z</dcterms:modified>
  <cp:category/>
</cp:coreProperties>
</file>